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f37e920cb68ed4a8/Desktop/Reto2-G03/Docs/"/>
    </mc:Choice>
  </mc:AlternateContent>
  <xr:revisionPtr revIDLastSave="48" documentId="13_ncr:1_{4A5DBDDE-59DE-4983-A5DD-216DD4370536}" xr6:coauthVersionLast="47" xr6:coauthVersionMax="47" xr10:uidLastSave="{C2F97CF6-5D2C-425B-9059-ECEFE83D5CA3}"/>
  <bookViews>
    <workbookView xWindow="-110" yWindow="-110" windowWidth="19420" windowHeight="11500" activeTab="2" xr2:uid="{D82936D8-D2C9-4EB2-9CBC-3665F65B95FD}"/>
  </bookViews>
  <sheets>
    <sheet name="01-Data Req. 4" sheetId="1" r:id="rId1"/>
    <sheet name="02-Gráfica Req. 4" sheetId="8" r:id="rId2"/>
    <sheet name="03-Análisis Req. 4" sheetId="9" r:id="rId3"/>
  </sheet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8" i="1" l="1"/>
  <c r="H19" i="1"/>
  <c r="H20" i="1"/>
  <c r="H21" i="1"/>
  <c r="H22" i="1"/>
  <c r="H23" i="1"/>
  <c r="H24" i="1"/>
  <c r="H25" i="1"/>
  <c r="H26" i="1"/>
  <c r="H17" i="1"/>
  <c r="H4" i="1"/>
  <c r="H5" i="1"/>
  <c r="H6" i="1"/>
  <c r="H7" i="1"/>
  <c r="H8" i="1"/>
  <c r="H9" i="1"/>
  <c r="H10" i="1"/>
  <c r="H11" i="1"/>
  <c r="H12" i="1"/>
  <c r="H3" i="1"/>
  <c r="B17" i="1"/>
  <c r="B18" i="1"/>
  <c r="B19" i="1"/>
  <c r="B20" i="1"/>
  <c r="B21" i="1"/>
  <c r="B22" i="1"/>
  <c r="B23" i="1"/>
  <c r="B24" i="1"/>
  <c r="B25" i="1"/>
  <c r="B26" i="1"/>
  <c r="B3" i="1"/>
  <c r="B4" i="1"/>
  <c r="B5" i="1"/>
  <c r="B6" i="1"/>
  <c r="B7" i="1"/>
  <c r="B8" i="1"/>
  <c r="B9" i="1"/>
  <c r="B10" i="1"/>
  <c r="B11" i="1"/>
  <c r="B12" i="1"/>
</calcChain>
</file>

<file path=xl/sharedStrings.xml><?xml version="1.0" encoding="utf-8"?>
<sst xmlns="http://schemas.openxmlformats.org/spreadsheetml/2006/main" count="26" uniqueCount="24">
  <si>
    <t>TIEMPOS PARA REQUERIMIENTO 4 - RETO 1</t>
  </si>
  <si>
    <t>Porcentaje de la muestra</t>
  </si>
  <si>
    <t>Tamaño de la muestra</t>
  </si>
  <si>
    <t>Tiempo1</t>
  </si>
  <si>
    <t>Tiempo2</t>
  </si>
  <si>
    <t>Tiempo3</t>
  </si>
  <si>
    <t>Tiempo4</t>
  </si>
  <si>
    <t>Tiempo5</t>
  </si>
  <si>
    <t>Tiempo promedio (Reto 1)</t>
  </si>
  <si>
    <t>TIEMPOS PARA REQUERIMIENTO 4 - RETO 2</t>
  </si>
  <si>
    <t>Tiempo 1</t>
  </si>
  <si>
    <t>Tiempo 2</t>
  </si>
  <si>
    <t>Tiempo 3</t>
  </si>
  <si>
    <t>Tiempo 4</t>
  </si>
  <si>
    <t>Tiempo 5</t>
  </si>
  <si>
    <t>Tiempo promedio (Reto 2)</t>
  </si>
  <si>
    <t>Preguntas de análisis</t>
  </si>
  <si>
    <t>Respuestas</t>
  </si>
  <si>
    <t>Al analizar los tiempos promedio obtenidos para el requerimiento 4 en el Reto 1 y el Reto 2, ¿Qué diferencias se observan en el comportamiento a medida que aumenta el tamaño del archivo .csv? Explicar qué indican esos resultados sobre el rendimiento temporal de cada estructura de datos.</t>
  </si>
  <si>
    <t>Comparar la complejidad temporal teórica del requerimiento 4 implementado con las estructuras de datos del reto 1 frente a la implementación con tablas hash. ¿Teóricamente sobre cual Estructura de Datos se tiene mejor eficiencia temporal? ¿Los resultados experimentales demuestran el mismo resultado?</t>
  </si>
  <si>
    <t>A partir del análisis teórico y experimental realizado, ¿qué conclusión puede obtener sobre el impacto de la estructura de datos en el rendimiento de un algoritmo? ¿Es importante la selección de una estructura de datos específica según el tipo de requerimiento?</t>
  </si>
  <si>
    <t>Los tiempos del requerimento 4 en el reto 2 son ampliamente menores, ya que la complejidad para encontrar los datos es de O(1), mientras que con los ordenamientos son de O(N)</t>
  </si>
  <si>
    <t>En la teoria deben ser las tablas de hash por su complejidad, en nuestro caso se comprobó que fue más rápido en tablas de hash y con estos resultados nuestra conclusión es que llega a ser más eficiente entre más grande sea el tamaño del archivo</t>
  </si>
  <si>
    <t xml:space="preserve">El impacto es significativamente importante, ya que sin el hashing el tiempo crecia de manera exponencial, y con el hashing se mantuvo en un crecimiento leve, es decir con una menor demora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</si>
</sst>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sz val="11"/>
      <color theme="1"/>
      <name val="Dax-Regular"/>
    </font>
    <font>
      <b/>
      <sz val="11"/>
      <color rgb="FF000000"/>
      <name val="Dax-Regular"/>
    </font>
    <font>
      <b/>
      <sz val="11"/>
      <color theme="1"/>
      <name val="Dax-Regular"/>
    </font>
    <font>
      <sz val="11"/>
      <color theme="0"/>
      <name val="Calibri"/>
      <family val="2"/>
      <scheme val="minor"/>
    </font>
    <font>
      <b/>
      <sz val="11"/>
      <color theme="1"/>
      <name val="Calibri"/>
      <family val="2"/>
      <scheme val="minor"/>
    </font>
    <font>
      <sz val="8"/>
      <name val="Calibri"/>
      <family val="2"/>
      <scheme val="minor"/>
    </font>
    <font>
      <u/>
      <sz val="11"/>
      <color theme="1"/>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rgb="FFF69E76"/>
        <bgColor indexed="64"/>
      </patternFill>
    </fill>
    <fill>
      <patternFill patternType="solid">
        <fgColor theme="4"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3">
    <xf numFmtId="0" fontId="0" fillId="0" borderId="0" xfId="0"/>
    <xf numFmtId="0" fontId="0" fillId="0" borderId="0" xfId="0" applyAlignment="1">
      <alignment horizontal="center" vertical="center"/>
    </xf>
    <xf numFmtId="10" fontId="1" fillId="0" borderId="0" xfId="0" applyNumberFormat="1" applyFont="1" applyAlignment="1">
      <alignment horizontal="center" vertical="center" wrapText="1"/>
    </xf>
    <xf numFmtId="2" fontId="1" fillId="0" borderId="0" xfId="0" applyNumberFormat="1" applyFont="1" applyAlignment="1">
      <alignment horizontal="center" vertical="center"/>
    </xf>
    <xf numFmtId="0" fontId="2" fillId="0" borderId="0" xfId="0" applyFont="1" applyAlignment="1">
      <alignment horizontal="center" vertical="center" wrapText="1"/>
    </xf>
    <xf numFmtId="0" fontId="3" fillId="0" borderId="0" xfId="0" applyFont="1"/>
    <xf numFmtId="0" fontId="4" fillId="0" borderId="0" xfId="0" applyFont="1"/>
    <xf numFmtId="0" fontId="0" fillId="0" borderId="1" xfId="0" applyBorder="1"/>
    <xf numFmtId="0" fontId="0" fillId="4" borderId="1" xfId="0" applyFill="1" applyBorder="1" applyAlignment="1">
      <alignment horizontal="left" vertical="center" wrapText="1"/>
    </xf>
    <xf numFmtId="0" fontId="7" fillId="0" borderId="0" xfId="0" applyFont="1"/>
    <xf numFmtId="0" fontId="5" fillId="2" borderId="0" xfId="0" applyFont="1" applyFill="1" applyAlignment="1">
      <alignment horizontal="center" vertical="center"/>
    </xf>
    <xf numFmtId="0" fontId="5" fillId="3" borderId="0" xfId="0" applyFont="1" applyFill="1" applyAlignment="1">
      <alignment horizontal="center"/>
    </xf>
    <xf numFmtId="0" fontId="0" fillId="0" borderId="1" xfId="0" applyBorder="1" applyAlignment="1">
      <alignment wrapText="1"/>
    </xf>
  </cellXfs>
  <cellStyles count="1">
    <cellStyle name="Normal" xfId="0" builtinId="0"/>
  </cellStyles>
  <dxfs count="20">
    <dxf>
      <font>
        <b/>
        <i val="0"/>
        <strike val="0"/>
        <condense val="0"/>
        <extend val="0"/>
        <outline val="0"/>
        <shadow val="0"/>
        <u val="none"/>
        <vertAlign val="baseline"/>
        <sz val="11"/>
        <color rgb="FF000000"/>
        <name val="Dax-Regular"/>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14" formatCode="0.00%"/>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fill>
        <patternFill patternType="none">
          <fgColor indexed="64"/>
          <bgColor indexed="65"/>
        </patternFill>
      </fill>
      <alignment horizontal="justify" vertical="center" textRotation="0" wrapText="1" indent="0" justifyLastLine="0" shrinkToFit="0" readingOrder="0"/>
    </dxf>
    <dxf>
      <font>
        <b/>
        <i val="0"/>
        <strike val="0"/>
        <condense val="0"/>
        <extend val="0"/>
        <outline val="0"/>
        <shadow val="0"/>
        <u val="none"/>
        <vertAlign val="baseline"/>
        <sz val="11"/>
        <color rgb="FF000000"/>
        <name val="Dax-Regular"/>
        <scheme val="none"/>
      </font>
      <fill>
        <patternFill patternType="none">
          <fgColor indexed="64"/>
          <bgColor indexed="65"/>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Dax-Regular"/>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14" formatCode="0.00%"/>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fill>
        <patternFill patternType="none">
          <fgColor indexed="64"/>
          <bgColor indexed="65"/>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Dax-Regular"/>
        <scheme val="none"/>
      </font>
      <fill>
        <patternFill patternType="none">
          <fgColor indexed="64"/>
          <bgColor indexed="65"/>
        </patternFill>
      </fill>
      <alignment horizontal="center" vertical="center" textRotation="0" wrapText="1" indent="0" justifyLastLine="0" shrinkToFit="0" readingOrder="0"/>
    </dxf>
  </dxfs>
  <tableStyles count="0" defaultTableStyle="TableStyleMedium2" defaultPivotStyle="PivotStyleLight16"/>
  <colors>
    <mruColors>
      <color rgb="FFF69E7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2.xml"/><Relationship Id="rId7" Type="http://schemas.openxmlformats.org/officeDocument/2006/relationships/calcChain" Target="calcChain.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Comparación de tiempos de ejecucion para</a:t>
            </a:r>
            <a:r>
              <a:rPr lang="en-US" b="1" baseline="0"/>
              <a:t> el Requerimiento 4</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scatterChart>
        <c:scatterStyle val="smoothMarker"/>
        <c:varyColors val="0"/>
        <c:ser>
          <c:idx val="0"/>
          <c:order val="0"/>
          <c:tx>
            <c:strRef>
              <c:f>'01-Data Req. 4'!$H$2</c:f>
              <c:strCache>
                <c:ptCount val="1"/>
                <c:pt idx="0">
                  <c:v>Tiempo promedio (Reto 1)</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1363811854896437"/>
                  <c:y val="-3.2945200031814204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trendlineLbl>
          </c:trendline>
          <c:xVal>
            <c:numRef>
              <c:f>'01-Data Req. 4'!$A$3:$A$14</c:f>
              <c:numCache>
                <c:formatCode>0.00%</c:formatCode>
                <c:ptCount val="12"/>
                <c:pt idx="0">
                  <c:v>0.1</c:v>
                </c:pt>
                <c:pt idx="1">
                  <c:v>0.2</c:v>
                </c:pt>
                <c:pt idx="2">
                  <c:v>0.3</c:v>
                </c:pt>
                <c:pt idx="3">
                  <c:v>0.4</c:v>
                </c:pt>
                <c:pt idx="4">
                  <c:v>0.5</c:v>
                </c:pt>
                <c:pt idx="5">
                  <c:v>0.6</c:v>
                </c:pt>
                <c:pt idx="6">
                  <c:v>0.7</c:v>
                </c:pt>
                <c:pt idx="7">
                  <c:v>0.8</c:v>
                </c:pt>
                <c:pt idx="8">
                  <c:v>0.9</c:v>
                </c:pt>
                <c:pt idx="9">
                  <c:v>1</c:v>
                </c:pt>
              </c:numCache>
            </c:numRef>
          </c:xVal>
          <c:yVal>
            <c:numRef>
              <c:f>'01-Data Req. 4'!$C$3:$C$14</c:f>
              <c:numCache>
                <c:formatCode>0.00</c:formatCode>
                <c:ptCount val="12"/>
                <c:pt idx="0">
                  <c:v>0.1147</c:v>
                </c:pt>
                <c:pt idx="1">
                  <c:v>9.3816000000000006</c:v>
                </c:pt>
                <c:pt idx="2">
                  <c:v>17.235299999999999</c:v>
                </c:pt>
                <c:pt idx="3">
                  <c:v>28.8857</c:v>
                </c:pt>
                <c:pt idx="4">
                  <c:v>48.176900000000003</c:v>
                </c:pt>
                <c:pt idx="5">
                  <c:v>51.407699999999998</c:v>
                </c:pt>
                <c:pt idx="6">
                  <c:v>68.365899999999996</c:v>
                </c:pt>
                <c:pt idx="7">
                  <c:v>85.055099999999996</c:v>
                </c:pt>
                <c:pt idx="8">
                  <c:v>90.106300000000005</c:v>
                </c:pt>
                <c:pt idx="9">
                  <c:v>127.274</c:v>
                </c:pt>
              </c:numCache>
            </c:numRef>
          </c:yVal>
          <c:smooth val="1"/>
          <c:extLst>
            <c:ext xmlns:c16="http://schemas.microsoft.com/office/drawing/2014/chart" uri="{C3380CC4-5D6E-409C-BE32-E72D297353CC}">
              <c16:uniqueId val="{00000000-B3D4-4A09-BEFF-C643A08A798B}"/>
            </c:ext>
          </c:extLst>
        </c:ser>
        <c:ser>
          <c:idx val="1"/>
          <c:order val="1"/>
          <c:tx>
            <c:strRef>
              <c:f>'01-Data Req. 4'!$H$16</c:f>
              <c:strCache>
                <c:ptCount val="1"/>
                <c:pt idx="0">
                  <c:v>Tiempo promedio (Reto 2)</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1"/>
            <c:dispEq val="1"/>
            <c:trendlineLbl>
              <c:layout>
                <c:manualLayout>
                  <c:x val="9.593553005287829E-2"/>
                  <c:y val="0.1237672790901137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trendlineLbl>
          </c:trendline>
          <c:xVal>
            <c:numRef>
              <c:f>'01-Data Req. 4'!$A$17:$A$26</c:f>
              <c:numCache>
                <c:formatCode>0.00%</c:formatCode>
                <c:ptCount val="10"/>
                <c:pt idx="0">
                  <c:v>0.1</c:v>
                </c:pt>
                <c:pt idx="1">
                  <c:v>0.2</c:v>
                </c:pt>
                <c:pt idx="2">
                  <c:v>0.3</c:v>
                </c:pt>
                <c:pt idx="3">
                  <c:v>0.4</c:v>
                </c:pt>
                <c:pt idx="4">
                  <c:v>0.5</c:v>
                </c:pt>
                <c:pt idx="5">
                  <c:v>0.6</c:v>
                </c:pt>
                <c:pt idx="6">
                  <c:v>0.7</c:v>
                </c:pt>
                <c:pt idx="7">
                  <c:v>0.8</c:v>
                </c:pt>
                <c:pt idx="8">
                  <c:v>0.9</c:v>
                </c:pt>
                <c:pt idx="9">
                  <c:v>1</c:v>
                </c:pt>
              </c:numCache>
            </c:numRef>
          </c:xVal>
          <c:yVal>
            <c:numRef>
              <c:f>'01-Data Req. 4'!$H$17:$H$26</c:f>
              <c:numCache>
                <c:formatCode>General</c:formatCode>
                <c:ptCount val="10"/>
                <c:pt idx="0">
                  <c:v>5.5020141601562447E-2</c:v>
                </c:pt>
                <c:pt idx="1">
                  <c:v>4.3148999214172319</c:v>
                </c:pt>
                <c:pt idx="2">
                  <c:v>6.1424201011657686</c:v>
                </c:pt>
                <c:pt idx="3">
                  <c:v>6.1981198310851999</c:v>
                </c:pt>
                <c:pt idx="4">
                  <c:v>8.6322199821472143</c:v>
                </c:pt>
                <c:pt idx="5">
                  <c:v>10.21958003044127</c:v>
                </c:pt>
                <c:pt idx="6">
                  <c:v>11.634040021896318</c:v>
                </c:pt>
                <c:pt idx="7">
                  <c:v>13.982019996643022</c:v>
                </c:pt>
                <c:pt idx="8">
                  <c:v>13.683559942245441</c:v>
                </c:pt>
                <c:pt idx="9">
                  <c:v>17.169700002670218</c:v>
                </c:pt>
              </c:numCache>
            </c:numRef>
          </c:yVal>
          <c:smooth val="1"/>
          <c:extLst>
            <c:ext xmlns:c16="http://schemas.microsoft.com/office/drawing/2014/chart" uri="{C3380CC4-5D6E-409C-BE32-E72D297353CC}">
              <c16:uniqueId val="{00000001-B3D4-4A09-BEFF-C643A08A798B}"/>
            </c:ext>
          </c:extLst>
        </c:ser>
        <c:dLbls>
          <c:showLegendKey val="0"/>
          <c:showVal val="0"/>
          <c:showCatName val="0"/>
          <c:showSerName val="0"/>
          <c:showPercent val="0"/>
          <c:showBubbleSize val="0"/>
        </c:dLbls>
        <c:axId val="1328118000"/>
        <c:axId val="1328121328"/>
      </c:scatterChart>
      <c:valAx>
        <c:axId val="13281180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Tamaño</a:t>
                </a:r>
                <a:r>
                  <a:rPr lang="en-US" b="1" baseline="0"/>
                  <a:t> de la muestra [Porcentaje]</a:t>
                </a:r>
                <a:endParaRPr lang="en-US" b="1"/>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s-CO"/>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28121328"/>
        <c:crosses val="autoZero"/>
        <c:crossBetween val="midCat"/>
      </c:valAx>
      <c:valAx>
        <c:axId val="13281213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Tiempo de Ejecución [ms]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s-CO"/>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2811800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3D4D373F-B89D-476A-916E-D6B8B50B0AC1}">
  <sheetPr>
    <tabColor theme="9" tint="0.59999389629810485"/>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6400" cy="6070600"/>
    <xdr:graphicFrame macro="">
      <xdr:nvGraphicFramePr>
        <xdr:cNvPr id="2" name="Chart 1">
          <a:extLst>
            <a:ext uri="{FF2B5EF4-FFF2-40B4-BE49-F238E27FC236}">
              <a16:creationId xmlns:a16="http://schemas.microsoft.com/office/drawing/2014/main" id="{E62ACB43-BF23-44E0-A2C1-1BE0D48E226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72D0253-75B0-4C0B-8972-D03303899249}" name="Table1" displayName="Table1" ref="A2:H12" totalsRowShown="0" headerRowDxfId="19" dataDxfId="18">
  <autoFilter ref="A2:H12" xr:uid="{072D0253-75B0-4C0B-8972-D03303899249}">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7AF2A2F-BC4B-404E-9B8B-256DA178E68B}" name="Porcentaje de la muestra" dataDxfId="17"/>
    <tableColumn id="2" xr3:uid="{23CECC62-35E0-466E-9502-4F5CC2E6F7A7}" name="Tamaño de la muestra" dataDxfId="16">
      <calculatedColumnFormula>Table1[[#This Row],[Porcentaje de la muestra]]*100000</calculatedColumnFormula>
    </tableColumn>
    <tableColumn id="6" xr3:uid="{1D7A89FD-B4C8-4B63-8144-3D2813CE09D2}" name="Tiempo1" dataDxfId="15"/>
    <tableColumn id="7" xr3:uid="{694553F5-E3D6-4DD7-9F82-2F775378069C}" name="Tiempo2" dataDxfId="14"/>
    <tableColumn id="10" xr3:uid="{DC77D538-1BF6-4CC8-A666-55E3AECB1094}" name="Tiempo3" dataDxfId="13"/>
    <tableColumn id="12" xr3:uid="{55DDEB9A-1D37-47AF-A22B-DCDED00B45F1}" name="Tiempo4" dataDxfId="12"/>
    <tableColumn id="13" xr3:uid="{18627A96-D9BD-4918-AC15-00FEC9F6C145}" name="Tiempo5" dataDxfId="11"/>
    <tableColumn id="3" xr3:uid="{19B1D273-887B-4392-991E-015D36D99E5B}" name="Tiempo promedio (Reto 1)" dataDxfId="10">
      <calculatedColumnFormula>AVERAGE(Table1[[#This Row],[Tiempo1]:[Tiempo5]])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35EFFA4-2B65-46C5-8257-6884800B9577}" name="Table13" displayName="Table13" ref="A16:H26" totalsRowShown="0" headerRowDxfId="9" dataDxfId="8">
  <autoFilter ref="A16:H26" xr:uid="{5C24B5A8-1B8E-4092-B34A-66FF5413D106}">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6584851-71BC-4FF5-B248-C3F46BA653AF}" name="Porcentaje de la muestra" dataDxfId="7"/>
    <tableColumn id="2" xr3:uid="{4F9B7329-040C-4D35-96E7-B9181424DC65}" name="Tamaño de la muestra" dataDxfId="6">
      <calculatedColumnFormula>Table13[[#This Row],[Porcentaje de la muestra]]*100000</calculatedColumnFormula>
    </tableColumn>
    <tableColumn id="6" xr3:uid="{73B8EDF2-52F3-4761-86EF-C7C71418F742}" name="Tiempo 1" dataDxfId="5"/>
    <tableColumn id="7" xr3:uid="{1E7534A5-4635-46DD-9452-9E4AA3B877EC}" name="Tiempo 2" dataDxfId="4"/>
    <tableColumn id="10" xr3:uid="{24936BC1-C83A-4407-814F-11214A4E9891}" name="Tiempo 3" dataDxfId="3"/>
    <tableColumn id="12" xr3:uid="{EBD8DFA2-3D20-4288-8498-555F04A9538F}" name="Tiempo 4" dataDxfId="2"/>
    <tableColumn id="13" xr3:uid="{44A85E6E-039D-4504-AD1E-8FF29C055C05}" name="Tiempo 5" dataDxfId="1"/>
    <tableColumn id="3" xr3:uid="{BDA028DF-4CED-4928-B040-96AD8F8A43EB}" name="Tiempo promedio (Reto 2)" dataDxfId="0">
      <calculatedColumnFormula>AVERAGE(Table13[[#This Row],[Tiempo 1]:[Tiempo 5]])</calculatedColumnFormula>
    </tableColumn>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14742-4EBB-4241-AC8A-0E5F24F7BB7B}">
  <dimension ref="A1:I26"/>
  <sheetViews>
    <sheetView zoomScale="86" zoomScaleNormal="130" workbookViewId="0">
      <selection activeCell="G18" sqref="G18"/>
    </sheetView>
  </sheetViews>
  <sheetFormatPr baseColWidth="10" defaultColWidth="8.81640625" defaultRowHeight="14.5"/>
  <cols>
    <col min="1" max="1" width="19.1796875" style="1" bestFit="1" customWidth="1"/>
    <col min="2" max="2" width="25.453125" style="1" bestFit="1" customWidth="1"/>
    <col min="3" max="4" width="10.453125" style="1" bestFit="1" customWidth="1"/>
    <col min="5" max="5" width="10" style="6" bestFit="1" customWidth="1"/>
    <col min="6" max="7" width="10.453125" bestFit="1" customWidth="1"/>
    <col min="8" max="12" width="24.453125" customWidth="1"/>
  </cols>
  <sheetData>
    <row r="1" spans="1:9" ht="14.25" customHeight="1">
      <c r="C1" s="10" t="s">
        <v>0</v>
      </c>
      <c r="D1" s="10"/>
      <c r="E1" s="10"/>
      <c r="F1" s="10"/>
      <c r="G1" s="10"/>
      <c r="H1" s="10"/>
    </row>
    <row r="2" spans="1:9" s="5" customFormat="1" ht="28">
      <c r="A2" s="4" t="s">
        <v>1</v>
      </c>
      <c r="B2" s="4" t="s">
        <v>2</v>
      </c>
      <c r="C2" s="4" t="s">
        <v>3</v>
      </c>
      <c r="D2" s="4" t="s">
        <v>4</v>
      </c>
      <c r="E2" s="4" t="s">
        <v>5</v>
      </c>
      <c r="F2" s="4" t="s">
        <v>6</v>
      </c>
      <c r="G2" s="4" t="s">
        <v>7</v>
      </c>
      <c r="H2" s="4" t="s">
        <v>8</v>
      </c>
    </row>
    <row r="3" spans="1:9" s="5" customFormat="1" ht="14">
      <c r="A3" s="2">
        <v>0.1</v>
      </c>
      <c r="B3" s="3">
        <f>Table1[[#This Row],[Porcentaje de la muestra]]*100000</f>
        <v>10000</v>
      </c>
      <c r="C3" s="3">
        <v>0.1147</v>
      </c>
      <c r="D3" s="3">
        <v>7.2500200000000001E-2</v>
      </c>
      <c r="E3" s="3">
        <v>0.1249</v>
      </c>
      <c r="F3" s="3">
        <v>0.1101</v>
      </c>
      <c r="G3" s="3">
        <v>0.13919999999999999</v>
      </c>
      <c r="H3" s="4">
        <f>AVERAGE(Table1[[#This Row],[Tiempo1]:[Tiempo5]])</f>
        <v>0.11228004</v>
      </c>
    </row>
    <row r="4" spans="1:9" s="5" customFormat="1" ht="14">
      <c r="A4" s="2">
        <v>0.2</v>
      </c>
      <c r="B4" s="3">
        <f>Table1[[#This Row],[Porcentaje de la muestra]]*100000</f>
        <v>20000</v>
      </c>
      <c r="C4" s="3">
        <v>9.3816000000000006</v>
      </c>
      <c r="D4" s="3">
        <v>11.7384</v>
      </c>
      <c r="E4" s="3">
        <v>11.0185</v>
      </c>
      <c r="F4" s="3">
        <v>11.3207</v>
      </c>
      <c r="G4" s="3">
        <v>10.467499999999999</v>
      </c>
      <c r="H4" s="4">
        <f>AVERAGE(Table1[[#This Row],[Tiempo1]:[Tiempo5]])</f>
        <v>10.785340000000001</v>
      </c>
    </row>
    <row r="5" spans="1:9">
      <c r="A5" s="2">
        <v>0.3</v>
      </c>
      <c r="B5" s="3">
        <f>Table1[[#This Row],[Porcentaje de la muestra]]*100000</f>
        <v>30000</v>
      </c>
      <c r="C5" s="3">
        <v>17.235299999999999</v>
      </c>
      <c r="D5" s="3">
        <v>16.161000000000001</v>
      </c>
      <c r="E5" s="3">
        <v>17.22</v>
      </c>
      <c r="F5" s="3">
        <v>18.523</v>
      </c>
      <c r="G5" s="3">
        <v>17.043299999999999</v>
      </c>
      <c r="H5" s="4">
        <f>AVERAGE(Table1[[#This Row],[Tiempo1]:[Tiempo5]])</f>
        <v>17.236519999999999</v>
      </c>
    </row>
    <row r="6" spans="1:9">
      <c r="A6" s="2">
        <v>0.4</v>
      </c>
      <c r="B6" s="3">
        <f>Table1[[#This Row],[Porcentaje de la muestra]]*100000</f>
        <v>40000</v>
      </c>
      <c r="C6" s="3">
        <v>28.8857</v>
      </c>
      <c r="D6" s="3">
        <v>26.563400000000001</v>
      </c>
      <c r="E6" s="3">
        <v>28.469200000000001</v>
      </c>
      <c r="F6" s="3">
        <v>27.441400000000002</v>
      </c>
      <c r="G6" s="3">
        <v>26.504200000000001</v>
      </c>
      <c r="H6" s="4">
        <f>AVERAGE(Table1[[#This Row],[Tiempo1]:[Tiempo5]])</f>
        <v>27.572780000000002</v>
      </c>
    </row>
    <row r="7" spans="1:9">
      <c r="A7" s="2">
        <v>0.5</v>
      </c>
      <c r="B7" s="3">
        <f>Table1[[#This Row],[Porcentaje de la muestra]]*100000</f>
        <v>50000</v>
      </c>
      <c r="C7" s="3">
        <v>48.176900000000003</v>
      </c>
      <c r="D7" s="3">
        <v>47.979799999999997</v>
      </c>
      <c r="E7" s="3">
        <v>50.816699999999997</v>
      </c>
      <c r="F7" s="3">
        <v>47.734999999999999</v>
      </c>
      <c r="G7" s="3">
        <v>46.3172</v>
      </c>
      <c r="H7" s="4">
        <f>AVERAGE(Table1[[#This Row],[Tiempo1]:[Tiempo5]])</f>
        <v>48.205120000000001</v>
      </c>
    </row>
    <row r="8" spans="1:9">
      <c r="A8" s="2">
        <v>0.6</v>
      </c>
      <c r="B8" s="3">
        <f>Table1[[#This Row],[Porcentaje de la muestra]]*100000</f>
        <v>60000</v>
      </c>
      <c r="C8" s="3">
        <v>51.407699999999998</v>
      </c>
      <c r="D8" s="3">
        <v>51.375999999999998</v>
      </c>
      <c r="E8" s="3">
        <v>52.207999999999998</v>
      </c>
      <c r="F8" s="3">
        <v>47.605499999999999</v>
      </c>
      <c r="G8" s="3">
        <v>49.955800000000004</v>
      </c>
      <c r="H8" s="4">
        <f>AVERAGE(Table1[[#This Row],[Tiempo1]:[Tiempo5]])</f>
        <v>50.510599999999997</v>
      </c>
    </row>
    <row r="9" spans="1:9">
      <c r="A9" s="2">
        <v>0.7</v>
      </c>
      <c r="B9" s="3">
        <f>Table1[[#This Row],[Porcentaje de la muestra]]*100000</f>
        <v>70000</v>
      </c>
      <c r="C9" s="3">
        <v>68.365899999999996</v>
      </c>
      <c r="D9" s="3">
        <v>66.650899999999993</v>
      </c>
      <c r="E9" s="3">
        <v>67.638099999999994</v>
      </c>
      <c r="F9" s="3">
        <v>64.061700099999996</v>
      </c>
      <c r="G9" s="3">
        <v>66.135999999999996</v>
      </c>
      <c r="H9" s="4">
        <f>AVERAGE(Table1[[#This Row],[Tiempo1]:[Tiempo5]])</f>
        <v>66.570520020000004</v>
      </c>
    </row>
    <row r="10" spans="1:9">
      <c r="A10" s="2">
        <v>0.8</v>
      </c>
      <c r="B10" s="3">
        <f>Table1[[#This Row],[Porcentaje de la muestra]]*100000</f>
        <v>80000</v>
      </c>
      <c r="C10" s="3">
        <v>85.055099999999996</v>
      </c>
      <c r="D10" s="3">
        <v>81.126300000000001</v>
      </c>
      <c r="E10" s="3">
        <v>83.186099999999996</v>
      </c>
      <c r="F10" s="3">
        <v>83.730199999999996</v>
      </c>
      <c r="G10" s="3">
        <v>81.845100000000002</v>
      </c>
      <c r="H10" s="4">
        <f>AVERAGE(Table1[[#This Row],[Tiempo1]:[Tiempo5]])</f>
        <v>82.988560000000007</v>
      </c>
      <c r="I10" s="9"/>
    </row>
    <row r="11" spans="1:9">
      <c r="A11" s="2">
        <v>0.9</v>
      </c>
      <c r="B11" s="3">
        <f>Table1[[#This Row],[Porcentaje de la muestra]]*100000</f>
        <v>90000</v>
      </c>
      <c r="C11" s="3">
        <v>90.106300000000005</v>
      </c>
      <c r="D11" s="3">
        <v>89.195300000000003</v>
      </c>
      <c r="E11" s="3">
        <v>87.213399999999993</v>
      </c>
      <c r="F11" s="3">
        <v>88.127799999999993</v>
      </c>
      <c r="G11" s="3">
        <v>100.12730000000001</v>
      </c>
      <c r="H11" s="4">
        <f>AVERAGE(Table1[[#This Row],[Tiempo1]:[Tiempo5]])</f>
        <v>90.954019999999986</v>
      </c>
    </row>
    <row r="12" spans="1:9">
      <c r="A12" s="2">
        <v>1</v>
      </c>
      <c r="B12" s="3">
        <f>Table1[[#This Row],[Porcentaje de la muestra]]*100000</f>
        <v>100000</v>
      </c>
      <c r="C12" s="3">
        <v>127.274</v>
      </c>
      <c r="D12" s="3">
        <v>117.783</v>
      </c>
      <c r="E12" s="3">
        <v>141.31100000000001</v>
      </c>
      <c r="F12" s="3">
        <v>120.93300000000001</v>
      </c>
      <c r="G12" s="3">
        <v>131.47200000000001</v>
      </c>
      <c r="H12" s="4">
        <f>AVERAGE(Table1[[#This Row],[Tiempo1]:[Tiempo5]])</f>
        <v>127.75460000000001</v>
      </c>
    </row>
    <row r="13" spans="1:9">
      <c r="A13" s="2"/>
      <c r="B13" s="3"/>
      <c r="C13" s="4"/>
      <c r="D13" s="4"/>
      <c r="E13" s="4"/>
      <c r="F13" s="4"/>
      <c r="G13" s="4"/>
      <c r="H13" s="4"/>
    </row>
    <row r="15" spans="1:9" ht="14.25" customHeight="1">
      <c r="C15" s="11" t="s">
        <v>9</v>
      </c>
      <c r="D15" s="11"/>
      <c r="E15" s="11"/>
      <c r="F15" s="11"/>
      <c r="G15" s="11"/>
      <c r="H15" s="11"/>
    </row>
    <row r="16" spans="1:9" s="5" customFormat="1" ht="28">
      <c r="A16" s="4" t="s">
        <v>1</v>
      </c>
      <c r="B16" s="4" t="s">
        <v>2</v>
      </c>
      <c r="C16" s="4" t="s">
        <v>10</v>
      </c>
      <c r="D16" s="4" t="s">
        <v>11</v>
      </c>
      <c r="E16" s="4" t="s">
        <v>12</v>
      </c>
      <c r="F16" s="4" t="s">
        <v>13</v>
      </c>
      <c r="G16" s="4" t="s">
        <v>14</v>
      </c>
      <c r="H16" s="4" t="s">
        <v>15</v>
      </c>
    </row>
    <row r="17" spans="1:8" s="5" customFormat="1" ht="14">
      <c r="A17" s="2">
        <v>0.1</v>
      </c>
      <c r="B17" s="3">
        <f>Table13[[#This Row],[Porcentaje de la muestra]]*100000</f>
        <v>10000</v>
      </c>
      <c r="C17" s="3">
        <v>5.83002567291259E-2</v>
      </c>
      <c r="D17" s="3">
        <v>6.3899993896484306E-2</v>
      </c>
      <c r="E17" s="3">
        <v>5.1600217819213798E-2</v>
      </c>
      <c r="F17" s="3">
        <v>5.52999973297119E-2</v>
      </c>
      <c r="G17" s="3">
        <v>4.6000242233276298E-2</v>
      </c>
      <c r="H17" s="4">
        <f>AVERAGE(Table13[[#This Row],[Tiempo 1]:[Tiempo 5]])</f>
        <v>5.5020141601562447E-2</v>
      </c>
    </row>
    <row r="18" spans="1:8" s="5" customFormat="1" ht="14">
      <c r="A18" s="2">
        <v>0.2</v>
      </c>
      <c r="B18" s="3">
        <f>Table13[[#This Row],[Porcentaje de la muestra]]*100000</f>
        <v>20000</v>
      </c>
      <c r="C18" s="3">
        <v>3.9840998649597101</v>
      </c>
      <c r="D18" s="3">
        <v>4.8567998409271196</v>
      </c>
      <c r="E18" s="3">
        <v>4.5381000041961599</v>
      </c>
      <c r="F18" s="3">
        <v>4.1802999973297101</v>
      </c>
      <c r="G18" s="3">
        <v>4.0151998996734601</v>
      </c>
      <c r="H18" s="4">
        <f>AVERAGE(Table13[[#This Row],[Tiempo 1]:[Tiempo 5]])</f>
        <v>4.3148999214172319</v>
      </c>
    </row>
    <row r="19" spans="1:8">
      <c r="A19" s="2">
        <v>0.3</v>
      </c>
      <c r="B19" s="3">
        <f>Table13[[#This Row],[Porcentaje de la muestra]]*100000</f>
        <v>30000</v>
      </c>
      <c r="C19" s="3">
        <v>6.2367999553680402</v>
      </c>
      <c r="D19" s="3">
        <v>6.29010009765625</v>
      </c>
      <c r="E19" s="3">
        <v>6.2019002437591499</v>
      </c>
      <c r="F19" s="3">
        <v>5.9577002525329501</v>
      </c>
      <c r="G19" s="3">
        <v>6.0255999565124503</v>
      </c>
      <c r="H19" s="4">
        <f>AVERAGE(Table13[[#This Row],[Tiempo 1]:[Tiempo 5]])</f>
        <v>6.1424201011657686</v>
      </c>
    </row>
    <row r="20" spans="1:8">
      <c r="A20" s="2">
        <v>0.4</v>
      </c>
      <c r="B20" s="3">
        <f>Table13[[#This Row],[Porcentaje de la muestra]]*100000</f>
        <v>40000</v>
      </c>
      <c r="C20" s="3">
        <v>5.7714996337890598</v>
      </c>
      <c r="D20" s="3">
        <v>6.2012999057769704</v>
      </c>
      <c r="E20" s="3">
        <v>6.5951998233795104</v>
      </c>
      <c r="F20" s="3">
        <v>6.1326999664306596</v>
      </c>
      <c r="G20" s="3">
        <v>6.2898998260498002</v>
      </c>
      <c r="H20" s="4">
        <f>AVERAGE(Table13[[#This Row],[Tiempo 1]:[Tiempo 5]])</f>
        <v>6.1981198310851999</v>
      </c>
    </row>
    <row r="21" spans="1:8">
      <c r="A21" s="2">
        <v>0.5</v>
      </c>
      <c r="B21" s="3">
        <f>Table13[[#This Row],[Porcentaje de la muestra]]*100000</f>
        <v>50000</v>
      </c>
      <c r="C21" s="3">
        <v>7.7952001094818097</v>
      </c>
      <c r="D21" s="3">
        <v>8.6152000427246094</v>
      </c>
      <c r="E21" s="3">
        <v>9.1731998920440603</v>
      </c>
      <c r="F21" s="3">
        <v>9.1158998012542707</v>
      </c>
      <c r="G21" s="3">
        <v>8.4616000652313197</v>
      </c>
      <c r="H21" s="4">
        <f>AVERAGE(Table13[[#This Row],[Tiempo 1]:[Tiempo 5]])</f>
        <v>8.6322199821472143</v>
      </c>
    </row>
    <row r="22" spans="1:8">
      <c r="A22" s="2">
        <v>0.6</v>
      </c>
      <c r="B22" s="3">
        <f>Table13[[#This Row],[Porcentaje de la muestra]]*100000</f>
        <v>60000</v>
      </c>
      <c r="C22" s="3">
        <v>8.6030998229980398</v>
      </c>
      <c r="D22" s="3">
        <v>10.4917001724243</v>
      </c>
      <c r="E22" s="3">
        <v>10.7696998119354</v>
      </c>
      <c r="F22" s="3">
        <v>11.457000255584701</v>
      </c>
      <c r="G22" s="3">
        <v>9.7764000892639107</v>
      </c>
      <c r="H22" s="4">
        <f>AVERAGE(Table13[[#This Row],[Tiempo 1]:[Tiempo 5]])</f>
        <v>10.21958003044127</v>
      </c>
    </row>
    <row r="23" spans="1:8">
      <c r="A23" s="2">
        <v>0.7</v>
      </c>
      <c r="B23" s="3">
        <f>Table13[[#This Row],[Porcentaje de la muestra]]*100000</f>
        <v>70000</v>
      </c>
      <c r="C23" s="3">
        <v>11.468099832534699</v>
      </c>
      <c r="D23" s="3">
        <v>11.4037001132965</v>
      </c>
      <c r="E23" s="3">
        <v>11.5676999092102</v>
      </c>
      <c r="F23" s="3">
        <v>11.6924002170562</v>
      </c>
      <c r="G23" s="3">
        <v>12.038300037383999</v>
      </c>
      <c r="H23" s="4">
        <f>AVERAGE(Table13[[#This Row],[Tiempo 1]:[Tiempo 5]])</f>
        <v>11.634040021896318</v>
      </c>
    </row>
    <row r="24" spans="1:8">
      <c r="A24" s="2">
        <v>0.8</v>
      </c>
      <c r="B24" s="3">
        <f>Table13[[#This Row],[Porcentaje de la muestra]]*100000</f>
        <v>80000</v>
      </c>
      <c r="C24" s="3">
        <v>13.178200244903501</v>
      </c>
      <c r="D24" s="3">
        <v>15.4297997951507</v>
      </c>
      <c r="E24" s="3">
        <v>13.221599817275999</v>
      </c>
      <c r="F24" s="3">
        <v>13.305999994277901</v>
      </c>
      <c r="G24" s="3">
        <v>14.774500131607001</v>
      </c>
      <c r="H24" s="4">
        <f>AVERAGE(Table13[[#This Row],[Tiempo 1]:[Tiempo 5]])</f>
        <v>13.982019996643022</v>
      </c>
    </row>
    <row r="25" spans="1:8">
      <c r="A25" s="2">
        <v>0.9</v>
      </c>
      <c r="B25" s="3">
        <f>Table13[[#This Row],[Porcentaje de la muestra]]*100000</f>
        <v>90000</v>
      </c>
      <c r="C25" s="3">
        <v>13.598699808120699</v>
      </c>
      <c r="D25" s="3">
        <v>13.616600036621</v>
      </c>
      <c r="E25" s="3">
        <v>13.5401000976562</v>
      </c>
      <c r="F25" s="3">
        <v>13.613499879837001</v>
      </c>
      <c r="G25" s="3">
        <v>14.048899888992301</v>
      </c>
      <c r="H25" s="4">
        <f>AVERAGE(Table13[[#This Row],[Tiempo 1]:[Tiempo 5]])</f>
        <v>13.683559942245441</v>
      </c>
    </row>
    <row r="26" spans="1:8">
      <c r="A26" s="2">
        <v>1</v>
      </c>
      <c r="B26" s="3">
        <f>Table13[[#This Row],[Porcentaje de la muestra]]*100000</f>
        <v>100000</v>
      </c>
      <c r="C26" s="3">
        <v>15.988400220870901</v>
      </c>
      <c r="D26" s="3">
        <v>18.136799812316799</v>
      </c>
      <c r="E26" s="3">
        <v>16.9165999889373</v>
      </c>
      <c r="F26" s="3">
        <v>16.169800043106001</v>
      </c>
      <c r="G26" s="3">
        <v>18.636899948120099</v>
      </c>
      <c r="H26" s="4">
        <f>AVERAGE(Table13[[#This Row],[Tiempo 1]:[Tiempo 5]])</f>
        <v>17.169700002670218</v>
      </c>
    </row>
  </sheetData>
  <mergeCells count="2">
    <mergeCell ref="C1:H1"/>
    <mergeCell ref="C15:H15"/>
  </mergeCells>
  <phoneticPr fontId="6" type="noConversion"/>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AD320-7E14-4249-AED7-A0983CAA46F0}">
  <sheetPr>
    <tabColor theme="4" tint="0.79998168889431442"/>
  </sheetPr>
  <dimension ref="A1:B4"/>
  <sheetViews>
    <sheetView tabSelected="1" workbookViewId="0">
      <selection activeCell="B4" sqref="B4"/>
    </sheetView>
  </sheetViews>
  <sheetFormatPr baseColWidth="10" defaultColWidth="11.453125" defaultRowHeight="14.5"/>
  <cols>
    <col min="1" max="1" width="61.81640625" customWidth="1"/>
    <col min="2" max="2" width="90.453125" customWidth="1"/>
  </cols>
  <sheetData>
    <row r="1" spans="1:2">
      <c r="A1" s="7" t="s">
        <v>16</v>
      </c>
      <c r="B1" s="7" t="s">
        <v>17</v>
      </c>
    </row>
    <row r="2" spans="1:2" ht="110" customHeight="1">
      <c r="A2" s="8" t="s">
        <v>18</v>
      </c>
      <c r="B2" s="12" t="s">
        <v>21</v>
      </c>
    </row>
    <row r="3" spans="1:2" ht="110" customHeight="1">
      <c r="A3" s="8" t="s">
        <v>19</v>
      </c>
      <c r="B3" s="12" t="s">
        <v>22</v>
      </c>
    </row>
    <row r="4" spans="1:2" ht="110" customHeight="1">
      <c r="A4" s="8" t="s">
        <v>20</v>
      </c>
      <c r="B4" s="12" t="s">
        <v>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85e30bcc-d76c-4413-8e4d-2dce22fb0743">
      <UserInfo>
        <DisplayName>Carlos Andres Lozano Garzon</DisplayName>
        <AccountId>13</AccountId>
        <AccountType/>
      </UserInfo>
      <UserInfo>
        <DisplayName>Dario Ernesto Correal Torres</DisplayName>
        <AccountId>15</AccountId>
        <AccountType/>
      </UserInfo>
      <UserInfo>
        <DisplayName>Mario  Fernando De la rosa Rosero</DisplayName>
        <AccountId>16</AccountId>
        <AccountType/>
      </UserInfo>
      <UserInfo>
        <DisplayName>Christian Camilo Aparicio Baquen</DisplayName>
        <AccountId>50</AccountId>
        <AccountType/>
      </UserInfo>
      <UserInfo>
        <DisplayName>Arturo Henao Chaparro</DisplayName>
        <AccountId>48</AccountId>
        <AccountType/>
      </UserInfo>
      <UserInfo>
        <DisplayName>Luis Esteban Florez Salamanca</DisplayName>
        <AccountId>33</AccountId>
        <AccountType/>
      </UserInfo>
      <UserInfo>
        <DisplayName>Ivan David Salazar Cardenas</DisplayName>
        <AccountId>52</AccountId>
        <AccountType/>
      </UserInfo>
      <UserInfo>
        <DisplayName>Juan Carlos Marin Morales</DisplayName>
        <AccountId>53</AccountId>
        <AccountType/>
      </UserInfo>
      <UserInfo>
        <DisplayName>Sofia Duque Gomez</DisplayName>
        <AccountId>60</AccountId>
        <AccountType/>
      </UserInfo>
      <UserInfo>
        <DisplayName>Andres Felipe Romero Brand</DisplayName>
        <AccountId>91</AccountId>
        <AccountType/>
      </UserInfo>
      <UserInfo>
        <DisplayName>Lindsay Vanessa Pinto Morato</DisplayName>
        <AccountId>92</AccountId>
        <AccountType/>
      </UserInfo>
      <UserInfo>
        <DisplayName>Miguel Angel Acosta Walteros</DisplayName>
        <AccountId>94</AccountId>
        <AccountType/>
      </UserInfo>
      <UserInfo>
        <DisplayName>Juan David Diaz Ipuz</DisplayName>
        <AccountId>90</AccountId>
        <AccountType/>
      </UserInfo>
      <UserInfo>
        <DisplayName>Lily Aitana valentina Duque Chavez</DisplayName>
        <AccountId>17</AccountId>
        <AccountType/>
      </UserInfo>
      <UserInfo>
        <DisplayName>Isaac David Bermudez Lara</DisplayName>
        <AccountId>95</AccountId>
        <AccountType/>
      </UserInfo>
      <UserInfo>
        <DisplayName>Daniel Alejandro Angel Fuertes</DisplayName>
        <AccountId>55</AccountId>
        <AccountType/>
      </UserInfo>
      <UserInfo>
        <DisplayName>Jeniffer Liliam Mendoza Espinosa</DisplayName>
        <AccountId>97</AccountId>
        <AccountType/>
      </UserInfo>
      <UserInfo>
        <DisplayName>Kevin Cohen Solano</DisplayName>
        <AccountId>93</AccountId>
        <AccountType/>
      </UserInfo>
      <UserInfo>
        <DisplayName>Cesar Luis Moreno Gonzalez</DisplayName>
        <AccountId>96</AccountId>
        <AccountType/>
      </UserInfo>
      <UserInfo>
        <DisplayName>Jose Cristobal Arroyo Castellanos</DisplayName>
        <AccountId>54</AccountId>
        <AccountType/>
      </UserInfo>
    </SharedWithUsers>
    <TaxCatchAll xmlns="85e30bcc-d76c-4413-8e4d-2dce22fb0743" xsi:nil="true"/>
    <lcf76f155ced4ddcb4097134ff3c332f xmlns="164883f8-7691-4ecf-b54a-664c0d0edefe">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23858CF01A2EF24688B692775F4C60A4" ma:contentTypeVersion="17" ma:contentTypeDescription="Crear nuevo documento." ma:contentTypeScope="" ma:versionID="39f2afe36700b83939ba6e49cc253596">
  <xsd:schema xmlns:xsd="http://www.w3.org/2001/XMLSchema" xmlns:xs="http://www.w3.org/2001/XMLSchema" xmlns:p="http://schemas.microsoft.com/office/2006/metadata/properties" xmlns:ns2="164883f8-7691-4ecf-b54a-664c0d0edefe" xmlns:ns3="85e30bcc-d76c-4413-8e4d-2dce22fb0743" targetNamespace="http://schemas.microsoft.com/office/2006/metadata/properties" ma:root="true" ma:fieldsID="24098648399639f58895cd89d20500e6" ns2:_="" ns3:_="">
    <xsd:import namespace="164883f8-7691-4ecf-b54a-664c0d0edefe"/>
    <xsd:import namespace="85e30bcc-d76c-4413-8e4d-2dce22fb074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4883f8-7691-4ecf-b54a-664c0d0ede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a38e7027-190f-4f90-8839-9f8250567d8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5e30bcc-d76c-4413-8e4d-2dce22fb0743"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26816d37-b675-4589-8225-e6a38877c704}" ma:internalName="TaxCatchAll" ma:showField="CatchAllData" ma:web="85e30bcc-d76c-4413-8e4d-2dce22fb074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7C5E1E0-C817-4769-9D2D-1DC296B681FA}">
  <ds:schemaRefs>
    <ds:schemaRef ds:uri="http://schemas.microsoft.com/office/2006/metadata/properties"/>
    <ds:schemaRef ds:uri="http://schemas.microsoft.com/office/infopath/2007/PartnerControls"/>
    <ds:schemaRef ds:uri="85e30bcc-d76c-4413-8e4d-2dce22fb0743"/>
    <ds:schemaRef ds:uri="164883f8-7691-4ecf-b54a-664c0d0edefe"/>
  </ds:schemaRefs>
</ds:datastoreItem>
</file>

<file path=customXml/itemProps2.xml><?xml version="1.0" encoding="utf-8"?>
<ds:datastoreItem xmlns:ds="http://schemas.openxmlformats.org/officeDocument/2006/customXml" ds:itemID="{5782CBBC-05AF-4A6B-A1AF-29EFB37A75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4883f8-7691-4ecf-b54a-664c0d0edefe"/>
    <ds:schemaRef ds:uri="85e30bcc-d76c-4413-8e4d-2dce22fb074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8DF3742-38F2-4B99-B335-CC4F04ED9F4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Gráficos</vt:lpstr>
      </vt:variant>
      <vt:variant>
        <vt:i4>1</vt:i4>
      </vt:variant>
    </vt:vector>
  </HeadingPairs>
  <TitlesOfParts>
    <vt:vector size="3" baseType="lpstr">
      <vt:lpstr>01-Data Req. 4</vt:lpstr>
      <vt:lpstr>03-Análisis Req. 4</vt:lpstr>
      <vt:lpstr>02-Gráfica Req. 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Santiago Felipe Arteaga Martin</dc:creator>
  <cp:keywords/>
  <dc:description/>
  <cp:lastModifiedBy>Jose Santos</cp:lastModifiedBy>
  <cp:revision/>
  <dcterms:created xsi:type="dcterms:W3CDTF">2021-02-18T03:17:26Z</dcterms:created>
  <dcterms:modified xsi:type="dcterms:W3CDTF">2026-10-15T03:42:59Z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0x01010023858CF01A2EF24688B692775F4C60A4</vt:lpwstr>
  </property>
  <property fmtid="{D5CDD505-2E9C-101B-9397-08002B2CF9AE}" pid="3" name="MediaServiceImageTags">
    <vt:lpwstr/>
  </property>
</Properties>
</file>